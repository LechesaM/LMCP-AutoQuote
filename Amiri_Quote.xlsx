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h/Documents/"/>
    </mc:Choice>
  </mc:AlternateContent>
  <xr:revisionPtr revIDLastSave="0" documentId="8_{78B7C2C4-AC31-E947-8583-F3BE4E5BC748}" xr6:coauthVersionLast="47" xr6:coauthVersionMax="47" xr10:uidLastSave="{00000000-0000-0000-0000-000000000000}"/>
  <bookViews>
    <workbookView xWindow="0" yWindow="600" windowWidth="33600" windowHeight="19140" xr2:uid="{8C937E90-CB7F-E14B-BD3F-42C0AA41CCD9}"/>
  </bookViews>
  <sheets>
    <sheet name="Sheet1" sheetId="1" r:id="rId1"/>
  </sheets>
  <definedNames>
    <definedName name="_xlnm.Print_Area" localSheetId="0">Sheet1!$A$1:$O$58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1" l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T33" i="1"/>
  <c r="T32" i="1"/>
  <c r="T31" i="1"/>
  <c r="T30" i="1"/>
  <c r="T29" i="1"/>
  <c r="T28" i="1"/>
  <c r="T27" i="1"/>
  <c r="T26" i="1"/>
  <c r="T25" i="1"/>
  <c r="T24" i="1"/>
  <c r="T23" i="1"/>
  <c r="T22" i="1"/>
  <c r="S33" i="1"/>
  <c r="S32" i="1"/>
  <c r="U32" i="1" s="1"/>
  <c r="V32" i="1" s="1"/>
  <c r="S31" i="1"/>
  <c r="U31" i="1" s="1"/>
  <c r="V31" i="1" s="1"/>
  <c r="S30" i="1"/>
  <c r="U30" i="1" s="1"/>
  <c r="V30" i="1" s="1"/>
  <c r="S29" i="1"/>
  <c r="U29" i="1" s="1"/>
  <c r="V29" i="1" s="1"/>
  <c r="S28" i="1"/>
  <c r="S27" i="1"/>
  <c r="S26" i="1"/>
  <c r="S25" i="1"/>
  <c r="S24" i="1"/>
  <c r="U24" i="1" s="1"/>
  <c r="V24" i="1" s="1"/>
  <c r="S23" i="1"/>
  <c r="U23" i="1" s="1"/>
  <c r="V23" i="1" s="1"/>
  <c r="S22" i="1"/>
  <c r="U22" i="1" s="1"/>
  <c r="V22" i="1" s="1"/>
  <c r="N33" i="1"/>
  <c r="N32" i="1"/>
  <c r="N31" i="1"/>
  <c r="N30" i="1"/>
  <c r="N29" i="1"/>
  <c r="N28" i="1"/>
  <c r="N27" i="1"/>
  <c r="N26" i="1"/>
  <c r="N25" i="1"/>
  <c r="N24" i="1"/>
  <c r="N23" i="1"/>
  <c r="N22" i="1"/>
  <c r="L14" i="1"/>
  <c r="U25" i="1" l="1"/>
  <c r="V25" i="1" s="1"/>
  <c r="U33" i="1"/>
  <c r="V33" i="1" s="1"/>
  <c r="U26" i="1"/>
  <c r="V26" i="1" s="1"/>
  <c r="U27" i="1"/>
  <c r="V27" i="1" s="1"/>
  <c r="U28" i="1"/>
  <c r="V28" i="1" s="1"/>
  <c r="U35" i="1"/>
  <c r="V35" i="1"/>
  <c r="N39" i="1"/>
  <c r="V38" i="1" l="1"/>
  <c r="N41" i="1"/>
</calcChain>
</file>

<file path=xl/sharedStrings.xml><?xml version="1.0" encoding="utf-8"?>
<sst xmlns="http://schemas.openxmlformats.org/spreadsheetml/2006/main" count="72" uniqueCount="50">
  <si>
    <t>CELL: +27 (0) 82 633 8492</t>
  </si>
  <si>
    <t>FAX: +27 (0) 86 517 9836</t>
  </si>
  <si>
    <t xml:space="preserve">lechesam@me.com </t>
  </si>
  <si>
    <t xml:space="preserve">lechesa@amirimawingu.co.za </t>
  </si>
  <si>
    <t>No 6 San Bre Park</t>
  </si>
  <si>
    <t>12 Jan Fiskaal Street</t>
  </si>
  <si>
    <t>Pellissier</t>
  </si>
  <si>
    <t>BLOEMFONTEIN</t>
  </si>
  <si>
    <t>RFQ: 6000080532</t>
  </si>
  <si>
    <t>TO:</t>
  </si>
  <si>
    <t>Johannesburg Water</t>
  </si>
  <si>
    <t>Electrical Components</t>
  </si>
  <si>
    <t>QUOTATION</t>
  </si>
  <si>
    <t>ITEM NO:</t>
  </si>
  <si>
    <t>UNIT</t>
  </si>
  <si>
    <t>QUANTITY</t>
  </si>
  <si>
    <t>DESCRIPTION</t>
  </si>
  <si>
    <t>UNIT PRICE</t>
  </si>
  <si>
    <t>FOR:</t>
  </si>
  <si>
    <t>PAGES: 1</t>
  </si>
  <si>
    <t>BRAND</t>
  </si>
  <si>
    <t>TOTAL</t>
  </si>
  <si>
    <t>SUBTOTAL</t>
  </si>
  <si>
    <t>VAT</t>
  </si>
  <si>
    <t>EA</t>
  </si>
  <si>
    <t>AMIRI MAWINGU GROUP (PTY) LTD</t>
  </si>
  <si>
    <t>CAPITEC BUSINESS BANK</t>
  </si>
  <si>
    <t>BUSINESS SUITE</t>
  </si>
  <si>
    <t>Thank you for doing business with Amiri Mawingu Group (Pty) Ltd.</t>
  </si>
  <si>
    <t>For any queries pertaining the quote please contact us at the</t>
  </si>
  <si>
    <t>above-mentioned numbers</t>
  </si>
  <si>
    <t>..…………………………………..</t>
  </si>
  <si>
    <t>LM Manaba</t>
  </si>
  <si>
    <t>Business Manager</t>
  </si>
  <si>
    <t>This quote is valid for 60 days from the date issued</t>
  </si>
  <si>
    <t>QUO:</t>
  </si>
  <si>
    <t>CONTACTOR LC1-D9511 3PHASE 45KW COIL VOLTAGE 220/230V</t>
  </si>
  <si>
    <t>1 MUSHROOM HEAD PUSHBUTTON KEY RELEASE XAL-K184 TYPEA4,AISI 316</t>
  </si>
  <si>
    <t>THERMAL OVERLOAD RELAY FOR MOTOR 90 - 150A - LR9D-5369</t>
  </si>
  <si>
    <t>ELECTRONIC OVERLOAD RELAY FOR MOTOR 90 - 150 - LR9-F5369</t>
  </si>
  <si>
    <t>ELECTRONIC OVERLOAD RELAY FOR MOTOR 132 - 220 - LR9-F5371</t>
  </si>
  <si>
    <t>3M SCOTCH TAPE 1710 INSULATION FLAME RETARDANT - 18MM X 20M RED</t>
  </si>
  <si>
    <t>3M SCOTCH TAPE 1710 INSULATION FLAME RETARDANT - 18MM X 20M WHITE</t>
  </si>
  <si>
    <t>3M SCOTCH TAPE 1710 INSULATION FLAME RETARDANT - 18MM X 20M BLUE</t>
  </si>
  <si>
    <t>3M SCOTCH TAPE 1710 INSULATION FLAME RETARDANT - 18MM X 20M YELLOW</t>
  </si>
  <si>
    <t>3M SCOTCH TAPE 1710 INSULATION FLAME RETARDANT - 18MM X 20M BLACK</t>
  </si>
  <si>
    <t>3M SCOTCH TAPE 1710 INSULATION FLAME RETARDANT - 18MM X 20M GREEN</t>
  </si>
  <si>
    <t>FLOURESCENT STARTER</t>
  </si>
  <si>
    <t>Schneider Electric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</si>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</sst>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C09]dd\ mmmm\ yyyy;@"/>
    <numFmt numFmtId="165" formatCode="&quot;R&quot;#,##0.0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b/>
      <u/>
      <sz val="14"/>
      <color theme="10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Tahoma"/>
      <family val="2"/>
    </font>
    <font>
      <b/>
      <sz val="10"/>
      <color rgb="FF00B150"/>
      <name val="Tahoma"/>
      <family val="2"/>
    </font>
    <font>
      <b/>
      <sz val="10"/>
      <color theme="1"/>
      <name val="Tahoma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 style="thick">
        <color theme="0" tint="-4.9989318521683403E-2"/>
      </left>
      <right/>
      <top style="thick">
        <color theme="0" tint="-4.9989318521683403E-2"/>
      </top>
      <bottom/>
      <diagonal/>
    </border>
    <border>
      <left/>
      <right/>
      <top style="thick">
        <color theme="0" tint="-4.9989318521683403E-2"/>
      </top>
      <bottom/>
      <diagonal/>
    </border>
    <border>
      <left/>
      <right style="thick">
        <color theme="0" tint="-4.9989318521683403E-2"/>
      </right>
      <top style="thick">
        <color theme="0" tint="-4.9989318521683403E-2"/>
      </top>
      <bottom/>
      <diagonal/>
    </border>
    <border>
      <left style="thick">
        <color theme="0" tint="-4.9989318521683403E-2"/>
      </left>
      <right/>
      <top/>
      <bottom/>
      <diagonal/>
    </border>
    <border>
      <left/>
      <right style="thick">
        <color theme="0" tint="-4.9989318521683403E-2"/>
      </right>
      <top/>
      <bottom/>
      <diagonal/>
    </border>
    <border>
      <left style="thick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ck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ck">
        <color theme="0" tint="-4.9989318521683403E-2"/>
      </right>
      <top style="hair">
        <color theme="0" tint="-4.9989318521683403E-2"/>
      </top>
      <bottom/>
      <diagonal/>
    </border>
    <border>
      <left style="thin">
        <color theme="0" tint="-4.9989318521683403E-2"/>
      </left>
      <right style="thick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ck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0" tint="-4.9989318521683403E-2"/>
      </left>
      <right/>
      <top/>
      <bottom style="thin">
        <color theme="0" tint="-4.9989318521683403E-2"/>
      </bottom>
      <diagonal/>
    </border>
    <border>
      <left style="thick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ck">
        <color theme="0" tint="-4.9989318521683403E-2"/>
      </right>
      <top style="thin">
        <color theme="0" tint="-4.9989318521683403E-2"/>
      </top>
      <bottom/>
      <diagonal/>
    </border>
    <border>
      <left style="thick">
        <color theme="0" tint="-4.9989318521683403E-2"/>
      </left>
      <right/>
      <top/>
      <bottom style="medium">
        <color theme="0" tint="-4.9989318521683403E-2"/>
      </bottom>
      <diagonal/>
    </border>
    <border>
      <left/>
      <right style="thick">
        <color theme="0" tint="-4.9989318521683403E-2"/>
      </right>
      <top/>
      <bottom style="medium">
        <color theme="0" tint="-4.9989318521683403E-2"/>
      </bottom>
      <diagonal/>
    </border>
    <border>
      <left style="thick">
        <color theme="0" tint="-4.9989318521683403E-2"/>
      </left>
      <right/>
      <top/>
      <bottom style="thick">
        <color theme="0" tint="-4.9989318521683403E-2"/>
      </bottom>
      <diagonal/>
    </border>
    <border>
      <left/>
      <right/>
      <top/>
      <bottom style="thick">
        <color theme="0" tint="-4.9989318521683403E-2"/>
      </bottom>
      <diagonal/>
    </border>
    <border>
      <left/>
      <right style="thick">
        <color theme="0" tint="-4.9989318521683403E-2"/>
      </right>
      <top/>
      <bottom style="thick">
        <color theme="0" tint="-4.9989318521683403E-2"/>
      </bottom>
      <diagonal/>
    </border>
    <border>
      <left style="thick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thick">
        <color theme="0" tint="-4.9989318521683403E-2"/>
      </right>
      <top/>
      <bottom style="hair">
        <color theme="0" tint="-4.9989318521683403E-2"/>
      </bottom>
      <diagonal/>
    </border>
    <border>
      <left style="thick">
        <color theme="0" tint="-4.9989318521683403E-2"/>
      </left>
      <right/>
      <top style="thick">
        <color theme="0" tint="-4.9989318521683403E-2"/>
      </top>
      <bottom style="thick">
        <color theme="0" tint="-4.9989318521683403E-2"/>
      </bottom>
      <diagonal/>
    </border>
    <border>
      <left/>
      <right/>
      <top style="thick">
        <color theme="0" tint="-4.9989318521683403E-2"/>
      </top>
      <bottom style="thick">
        <color theme="0" tint="-4.9989318521683403E-2"/>
      </bottom>
      <diagonal/>
    </border>
    <border>
      <left/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 style="medium">
        <color theme="0" tint="-4.9989318521683403E-2"/>
      </left>
      <right/>
      <top style="thick">
        <color theme="0" tint="-4.9989318521683403E-2"/>
      </top>
      <bottom style="medium">
        <color theme="0" tint="-4.9989318521683403E-2"/>
      </bottom>
      <diagonal/>
    </border>
    <border>
      <left/>
      <right/>
      <top style="thick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thick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4">
    <xf numFmtId="0" fontId="0" fillId="0" borderId="0" xfId="0"/>
    <xf numFmtId="165" fontId="0" fillId="0" borderId="0" xfId="0" applyNumberFormat="1"/>
    <xf numFmtId="165" fontId="1" fillId="0" borderId="0" xfId="0" applyNumberFormat="1" applyFont="1"/>
    <xf numFmtId="0" fontId="0" fillId="2" borderId="0" xfId="0" applyFill="1"/>
    <xf numFmtId="0" fontId="0" fillId="2" borderId="1" xfId="0" applyFill="1" applyBorder="1"/>
    <xf numFmtId="0" fontId="0" fillId="2" borderId="12" xfId="0" applyFill="1" applyBorder="1"/>
    <xf numFmtId="0" fontId="1" fillId="2" borderId="0" xfId="0" applyFont="1" applyFill="1"/>
    <xf numFmtId="0" fontId="0" fillId="2" borderId="28" xfId="0" applyFill="1" applyBorder="1"/>
    <xf numFmtId="0" fontId="9" fillId="2" borderId="29" xfId="0" applyFont="1" applyFill="1" applyBorder="1" applyAlignment="1">
      <alignment horizontal="right"/>
    </xf>
    <xf numFmtId="0" fontId="0" fillId="2" borderId="20" xfId="0" applyFill="1" applyBorder="1"/>
    <xf numFmtId="0" fontId="9" fillId="2" borderId="21" xfId="0" applyFont="1" applyFill="1" applyBorder="1" applyAlignment="1">
      <alignment horizontal="right"/>
    </xf>
    <xf numFmtId="0" fontId="0" fillId="2" borderId="21" xfId="0" applyFill="1" applyBorder="1"/>
    <xf numFmtId="0" fontId="5" fillId="2" borderId="21" xfId="0" applyFont="1" applyFill="1" applyBorder="1" applyAlignment="1">
      <alignment horizontal="right"/>
    </xf>
    <xf numFmtId="0" fontId="4" fillId="2" borderId="30" xfId="0" applyFont="1" applyFill="1" applyBorder="1"/>
    <xf numFmtId="0" fontId="5" fillId="2" borderId="31" xfId="0" applyFont="1" applyFill="1" applyBorder="1" applyAlignment="1">
      <alignment horizontal="right"/>
    </xf>
    <xf numFmtId="0" fontId="4" fillId="2" borderId="20" xfId="0" applyFont="1" applyFill="1" applyBorder="1"/>
    <xf numFmtId="0" fontId="4" fillId="2" borderId="32" xfId="0" applyFont="1" applyFill="1" applyBorder="1"/>
    <xf numFmtId="0" fontId="0" fillId="2" borderId="33" xfId="0" applyFill="1" applyBorder="1"/>
    <xf numFmtId="0" fontId="0" fillId="2" borderId="34" xfId="0" applyFill="1" applyBorder="1"/>
    <xf numFmtId="0" fontId="5" fillId="2" borderId="41" xfId="0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165" fontId="1" fillId="2" borderId="36" xfId="0" applyNumberFormat="1" applyFont="1" applyFill="1" applyBorder="1" applyAlignment="1">
      <alignment horizontal="center"/>
    </xf>
    <xf numFmtId="165" fontId="1" fillId="2" borderId="37" xfId="0" applyNumberFormat="1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165" fontId="1" fillId="2" borderId="23" xfId="0" applyNumberFormat="1" applyFont="1" applyFill="1" applyBorder="1" applyAlignment="1">
      <alignment horizontal="center"/>
    </xf>
    <xf numFmtId="0" fontId="1" fillId="2" borderId="15" xfId="0" applyFont="1" applyFill="1" applyBorder="1"/>
    <xf numFmtId="165" fontId="1" fillId="2" borderId="15" xfId="0" applyNumberFormat="1" applyFont="1" applyFill="1" applyBorder="1"/>
    <xf numFmtId="165" fontId="1" fillId="2" borderId="16" xfId="0" applyNumberFormat="1" applyFont="1" applyFill="1" applyBorder="1"/>
    <xf numFmtId="165" fontId="1" fillId="2" borderId="24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165" fontId="1" fillId="2" borderId="2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1" fillId="2" borderId="2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left" vertical="center" wrapText="1" indent="19"/>
    </xf>
    <xf numFmtId="164" fontId="1" fillId="2" borderId="7" xfId="0" applyNumberFormat="1" applyFont="1" applyFill="1" applyBorder="1" applyAlignment="1">
      <alignment horizontal="left" vertical="center" wrapText="1" indent="19"/>
    </xf>
    <xf numFmtId="164" fontId="1" fillId="2" borderId="8" xfId="0" applyNumberFormat="1" applyFont="1" applyFill="1" applyBorder="1" applyAlignment="1">
      <alignment horizontal="left" vertical="center" wrapText="1" indent="19"/>
    </xf>
    <xf numFmtId="0" fontId="0" fillId="2" borderId="9" xfId="0" applyFill="1" applyBorder="1" applyAlignment="1">
      <alignment horizontal="left" vertical="center" wrapText="1" indent="19"/>
    </xf>
    <xf numFmtId="0" fontId="0" fillId="2" borderId="0" xfId="0" applyFill="1" applyAlignment="1">
      <alignment horizontal="left" vertical="center" wrapText="1" indent="19"/>
    </xf>
    <xf numFmtId="0" fontId="0" fillId="2" borderId="10" xfId="0" applyFill="1" applyBorder="1" applyAlignment="1">
      <alignment horizontal="left" vertical="center" wrapText="1" indent="19"/>
    </xf>
    <xf numFmtId="0" fontId="0" fillId="2" borderId="11" xfId="0" applyFill="1" applyBorder="1" applyAlignment="1">
      <alignment horizontal="left" vertical="center" wrapText="1" indent="19"/>
    </xf>
    <xf numFmtId="0" fontId="0" fillId="2" borderId="12" xfId="0" applyFill="1" applyBorder="1" applyAlignment="1">
      <alignment horizontal="left" vertical="center" wrapText="1" indent="19"/>
    </xf>
    <xf numFmtId="0" fontId="0" fillId="2" borderId="13" xfId="0" applyFill="1" applyBorder="1" applyAlignment="1">
      <alignment horizontal="left" vertical="center" wrapText="1" indent="19"/>
    </xf>
    <xf numFmtId="0" fontId="0" fillId="2" borderId="17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19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2" borderId="6" xfId="0" applyFont="1" applyFill="1" applyBorder="1" applyAlignment="1">
      <alignment horizontal="left" vertical="center" wrapText="1" indent="22"/>
    </xf>
    <xf numFmtId="0" fontId="1" fillId="2" borderId="7" xfId="0" applyFont="1" applyFill="1" applyBorder="1" applyAlignment="1">
      <alignment horizontal="left" vertical="center" wrapText="1" indent="22"/>
    </xf>
    <xf numFmtId="0" fontId="1" fillId="2" borderId="8" xfId="0" applyFont="1" applyFill="1" applyBorder="1" applyAlignment="1">
      <alignment horizontal="left" vertical="center" wrapText="1" indent="22"/>
    </xf>
    <xf numFmtId="0" fontId="1" fillId="2" borderId="11" xfId="0" applyFont="1" applyFill="1" applyBorder="1" applyAlignment="1">
      <alignment horizontal="left" vertical="center" wrapText="1" indent="22"/>
    </xf>
    <xf numFmtId="0" fontId="1" fillId="2" borderId="12" xfId="0" applyFont="1" applyFill="1" applyBorder="1" applyAlignment="1">
      <alignment horizontal="left" vertical="center" wrapText="1" indent="22"/>
    </xf>
    <xf numFmtId="0" fontId="1" fillId="2" borderId="13" xfId="0" applyFont="1" applyFill="1" applyBorder="1" applyAlignment="1">
      <alignment horizontal="left" vertical="center" wrapText="1" indent="22"/>
    </xf>
    <xf numFmtId="0" fontId="0" fillId="2" borderId="20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1" fillId="2" borderId="17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vertical="center" wrapText="1"/>
    </xf>
    <xf numFmtId="0" fontId="0" fillId="2" borderId="32" xfId="0" applyFill="1" applyBorder="1" applyAlignment="1">
      <alignment vertical="center" wrapText="1"/>
    </xf>
    <xf numFmtId="0" fontId="0" fillId="2" borderId="34" xfId="0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wrapText="1"/>
    </xf>
    <xf numFmtId="0" fontId="8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21" xfId="0" applyFill="1" applyBorder="1" applyAlignment="1">
      <alignment wrapText="1"/>
    </xf>
    <xf numFmtId="0" fontId="1" fillId="2" borderId="15" xfId="0" applyFont="1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10" fillId="2" borderId="15" xfId="0" applyFont="1" applyFill="1" applyBorder="1" applyAlignment="1">
      <alignment horizontal="left" wrapText="1" indent="4"/>
    </xf>
    <xf numFmtId="0" fontId="0" fillId="2" borderId="15" xfId="0" applyFill="1" applyBorder="1" applyAlignment="1">
      <alignment horizontal="left" wrapText="1" indent="4"/>
    </xf>
    <xf numFmtId="0" fontId="10" fillId="2" borderId="36" xfId="0" applyFont="1" applyFill="1" applyBorder="1" applyAlignment="1">
      <alignment horizontal="left" wrapText="1" indent="4"/>
    </xf>
    <xf numFmtId="0" fontId="11" fillId="2" borderId="36" xfId="0" applyFont="1" applyFill="1" applyBorder="1" applyAlignment="1">
      <alignment horizontal="left" wrapText="1" indent="4"/>
    </xf>
    <xf numFmtId="0" fontId="0" fillId="2" borderId="38" xfId="0" applyFill="1" applyBorder="1" applyAlignment="1">
      <alignment wrapText="1"/>
    </xf>
    <xf numFmtId="0" fontId="0" fillId="2" borderId="39" xfId="0" applyFill="1" applyBorder="1" applyAlignment="1">
      <alignment wrapText="1"/>
    </xf>
    <xf numFmtId="0" fontId="4" fillId="2" borderId="39" xfId="0" applyFont="1" applyFill="1" applyBorder="1" applyAlignment="1">
      <alignment horizontal="center" vertical="top" wrapText="1"/>
    </xf>
    <xf numFmtId="0" fontId="0" fillId="2" borderId="40" xfId="0" applyFill="1" applyBorder="1" applyAlignment="1">
      <alignment wrapText="1"/>
    </xf>
    <xf numFmtId="0" fontId="5" fillId="2" borderId="4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right" wrapText="1" indent="1"/>
    </xf>
    <xf numFmtId="0" fontId="3" fillId="2" borderId="21" xfId="0" applyFont="1" applyFill="1" applyBorder="1" applyAlignment="1">
      <alignment horizontal="right" wrapText="1" indent="1"/>
    </xf>
    <xf numFmtId="0" fontId="1" fillId="2" borderId="0" xfId="0" applyFont="1" applyFill="1" applyAlignment="1">
      <alignment horizontal="left" wrapText="1" indent="6"/>
    </xf>
    <xf numFmtId="0" fontId="1" fillId="2" borderId="21" xfId="0" applyFont="1" applyFill="1" applyBorder="1" applyAlignment="1">
      <alignment horizontal="left" wrapText="1" indent="6"/>
    </xf>
    <xf numFmtId="0" fontId="6" fillId="2" borderId="0" xfId="1" applyFont="1" applyFill="1" applyBorder="1" applyAlignment="1">
      <alignment horizontal="right" wrapText="1" indent="1"/>
    </xf>
    <xf numFmtId="0" fontId="7" fillId="2" borderId="0" xfId="0" applyFont="1" applyFill="1" applyAlignment="1">
      <alignment horizontal="right" wrapText="1" indent="1"/>
    </xf>
    <xf numFmtId="0" fontId="7" fillId="2" borderId="21" xfId="0" applyFont="1" applyFill="1" applyBorder="1" applyAlignment="1">
      <alignment horizontal="right" wrapText="1" indent="1"/>
    </xf>
    <xf numFmtId="0" fontId="4" fillId="2" borderId="0" xfId="0" applyFont="1" applyFill="1" applyAlignment="1">
      <alignment horizontal="right" wrapText="1" indent="1"/>
    </xf>
    <xf numFmtId="0" fontId="4" fillId="2" borderId="21" xfId="0" applyFont="1" applyFill="1" applyBorder="1" applyAlignment="1">
      <alignment horizontal="right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38931</xdr:colOff>
      <xdr:row>1</xdr:row>
      <xdr:rowOff>52462</xdr:rowOff>
    </xdr:from>
    <xdr:to>
      <xdr:col>10</xdr:col>
      <xdr:colOff>966031</xdr:colOff>
      <xdr:row>12</xdr:row>
      <xdr:rowOff>128662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DE6DEA-53B8-74FE-8D04-80BC200A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772" y="254238"/>
          <a:ext cx="7941773" cy="2343209"/>
        </a:xfrm>
        <a:prstGeom prst="rect">
          <a:avLst/>
        </a:prstGeom>
      </xdr:spPr>
    </xdr:pic>
    <xdr:clientData/>
  </xdr:twoCellAnchor>
  <xdr:twoCellAnchor editAs="oneCell">
    <xdr:from>
      <xdr:col>1</xdr:col>
      <xdr:colOff>166167</xdr:colOff>
      <xdr:row>46</xdr:row>
      <xdr:rowOff>35608</xdr:rowOff>
    </xdr:from>
    <xdr:to>
      <xdr:col>4</xdr:col>
      <xdr:colOff>242201</xdr:colOff>
      <xdr:row>51</xdr:row>
      <xdr:rowOff>30159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A2DBAB-7A9B-6643-8975-51859CBE9C8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22" r="-1388" b="-3192"/>
        <a:stretch/>
      </xdr:blipFill>
      <xdr:spPr bwMode="auto">
        <a:xfrm>
          <a:off x="997008" y="9768318"/>
          <a:ext cx="2105660" cy="1003430"/>
        </a:xfrm>
        <a:prstGeom prst="roundRect">
          <a:avLst>
            <a:gd name="adj" fmla="val 8594"/>
          </a:avLst>
        </a:prstGeom>
        <a:noFill/>
        <a:ln>
          <a:solidFill>
            <a:schemeClr val="bg1">
              <a:lumMod val="95000"/>
            </a:schemeClr>
          </a:solidFill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lechesa@amirimawingu.co.za" TargetMode="External"/><Relationship Id="rId1" Type="http://schemas.openxmlformats.org/officeDocument/2006/relationships/hyperlink" Target="mailto:lechesam@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97AA-8B7C-8345-98A2-98F150868F57}">
  <sheetPr>
    <pageSetUpPr fitToPage="1"/>
  </sheetPr>
  <dimension ref="A1:Z57"/>
  <sheetViews>
    <sheetView tabSelected="1" topLeftCell="H19" zoomScale="125" zoomScaleNormal="65" workbookViewId="0">
      <selection activeCell="V22" sqref="V22"/>
    </sheetView>
  </sheetViews>
  <sheetFormatPr baseColWidth="10" defaultRowHeight="16" x14ac:dyDescent="0.2"/>
  <cols>
    <col min="2" max="2" width="10" customWidth="1"/>
    <col min="3" max="3" width="5.83203125" bestFit="1" customWidth="1"/>
    <col min="4" max="4" width="10.83203125" bestFit="1" customWidth="1"/>
    <col min="11" max="11" width="13.33203125" customWidth="1"/>
    <col min="12" max="12" width="15.6640625" bestFit="1" customWidth="1"/>
    <col min="13" max="13" width="12" bestFit="1" customWidth="1"/>
    <col min="14" max="14" width="13.33203125" customWidth="1"/>
    <col min="21" max="21" width="13.33203125" bestFit="1" customWidth="1"/>
    <col min="22" max="22" width="13" bestFit="1" customWidth="1"/>
  </cols>
  <sheetData>
    <row r="1" spans="1:15" ht="17" thickTop="1" x14ac:dyDescent="0.2">
      <c r="A1" s="50"/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50"/>
    </row>
    <row r="2" spans="1:15" ht="16" customHeight="1" x14ac:dyDescent="0.2">
      <c r="A2" s="50"/>
      <c r="B2" s="58"/>
      <c r="C2" s="51"/>
      <c r="D2" s="51"/>
      <c r="E2" s="51"/>
      <c r="F2" s="51"/>
      <c r="G2" s="51"/>
      <c r="H2" s="51"/>
      <c r="I2" s="51"/>
      <c r="J2" s="51"/>
      <c r="K2" s="51"/>
      <c r="L2" s="85" t="s">
        <v>0</v>
      </c>
      <c r="M2" s="85"/>
      <c r="N2" s="86"/>
      <c r="O2" s="50"/>
    </row>
    <row r="3" spans="1:15" x14ac:dyDescent="0.2">
      <c r="A3" s="50"/>
      <c r="B3" s="58"/>
      <c r="C3" s="51"/>
      <c r="D3" s="51"/>
      <c r="E3" s="51"/>
      <c r="F3" s="51"/>
      <c r="G3" s="51"/>
      <c r="H3" s="51"/>
      <c r="I3" s="51"/>
      <c r="J3" s="51"/>
      <c r="K3" s="51"/>
      <c r="L3" s="85" t="s">
        <v>1</v>
      </c>
      <c r="M3" s="85"/>
      <c r="N3" s="86"/>
      <c r="O3" s="50"/>
    </row>
    <row r="4" spans="1:15" ht="18" x14ac:dyDescent="0.2">
      <c r="A4" s="50"/>
      <c r="B4" s="58"/>
      <c r="C4" s="51"/>
      <c r="D4" s="51"/>
      <c r="E4" s="51"/>
      <c r="F4" s="51"/>
      <c r="G4" s="51"/>
      <c r="H4" s="51"/>
      <c r="I4" s="51"/>
      <c r="J4" s="51"/>
      <c r="K4" s="51"/>
      <c r="L4" s="89" t="s">
        <v>2</v>
      </c>
      <c r="M4" s="90"/>
      <c r="N4" s="91"/>
      <c r="O4" s="50"/>
    </row>
    <row r="5" spans="1:15" ht="18" x14ac:dyDescent="0.2">
      <c r="A5" s="50"/>
      <c r="B5" s="58"/>
      <c r="C5" s="51"/>
      <c r="D5" s="51"/>
      <c r="E5" s="51"/>
      <c r="F5" s="51"/>
      <c r="G5" s="51"/>
      <c r="H5" s="51"/>
      <c r="I5" s="51"/>
      <c r="J5" s="51"/>
      <c r="K5" s="51"/>
      <c r="L5" s="89" t="s">
        <v>3</v>
      </c>
      <c r="M5" s="90"/>
      <c r="N5" s="91"/>
      <c r="O5" s="50"/>
    </row>
    <row r="6" spans="1:15" x14ac:dyDescent="0.2">
      <c r="A6" s="50"/>
      <c r="B6" s="58"/>
      <c r="C6" s="51"/>
      <c r="D6" s="51"/>
      <c r="E6" s="51"/>
      <c r="F6" s="51"/>
      <c r="G6" s="51"/>
      <c r="H6" s="51"/>
      <c r="I6" s="51"/>
      <c r="J6" s="51"/>
      <c r="K6" s="51"/>
      <c r="L6" s="85" t="s">
        <v>4</v>
      </c>
      <c r="M6" s="85"/>
      <c r="N6" s="86"/>
      <c r="O6" s="50"/>
    </row>
    <row r="7" spans="1:15" x14ac:dyDescent="0.2">
      <c r="A7" s="50"/>
      <c r="B7" s="58"/>
      <c r="C7" s="51"/>
      <c r="D7" s="51"/>
      <c r="E7" s="51"/>
      <c r="F7" s="51"/>
      <c r="G7" s="51"/>
      <c r="H7" s="51"/>
      <c r="I7" s="51"/>
      <c r="J7" s="51"/>
      <c r="K7" s="51"/>
      <c r="L7" s="85" t="s">
        <v>5</v>
      </c>
      <c r="M7" s="85"/>
      <c r="N7" s="86"/>
      <c r="O7" s="50"/>
    </row>
    <row r="8" spans="1:15" x14ac:dyDescent="0.2">
      <c r="A8" s="50"/>
      <c r="B8" s="58"/>
      <c r="C8" s="51"/>
      <c r="D8" s="51"/>
      <c r="E8" s="51"/>
      <c r="F8" s="51"/>
      <c r="G8" s="51"/>
      <c r="H8" s="51"/>
      <c r="I8" s="51"/>
      <c r="J8" s="51"/>
      <c r="K8" s="51"/>
      <c r="L8" s="85" t="s">
        <v>6</v>
      </c>
      <c r="M8" s="85"/>
      <c r="N8" s="86"/>
      <c r="O8" s="50"/>
    </row>
    <row r="9" spans="1:15" x14ac:dyDescent="0.2">
      <c r="A9" s="50"/>
      <c r="B9" s="58"/>
      <c r="C9" s="51"/>
      <c r="D9" s="51"/>
      <c r="E9" s="51"/>
      <c r="F9" s="51"/>
      <c r="G9" s="51"/>
      <c r="H9" s="51"/>
      <c r="I9" s="51"/>
      <c r="J9" s="51"/>
      <c r="K9" s="51"/>
      <c r="L9" s="92" t="s">
        <v>7</v>
      </c>
      <c r="M9" s="92"/>
      <c r="N9" s="93"/>
      <c r="O9" s="50"/>
    </row>
    <row r="10" spans="1:15" x14ac:dyDescent="0.2">
      <c r="A10" s="50"/>
      <c r="B10" s="58"/>
      <c r="C10" s="51"/>
      <c r="D10" s="51"/>
      <c r="E10" s="51"/>
      <c r="F10" s="51"/>
      <c r="G10" s="51"/>
      <c r="H10" s="51"/>
      <c r="I10" s="51"/>
      <c r="J10" s="51"/>
      <c r="K10" s="51"/>
      <c r="L10" s="85">
        <v>9300</v>
      </c>
      <c r="M10" s="85"/>
      <c r="N10" s="86"/>
      <c r="O10" s="50"/>
    </row>
    <row r="11" spans="1:15" x14ac:dyDescent="0.2">
      <c r="A11" s="50"/>
      <c r="B11" s="58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73"/>
      <c r="O11" s="50"/>
    </row>
    <row r="12" spans="1:15" x14ac:dyDescent="0.2">
      <c r="A12" s="50"/>
      <c r="B12" s="58"/>
      <c r="C12" s="51"/>
      <c r="D12" s="51"/>
      <c r="E12" s="51"/>
      <c r="F12" s="51"/>
      <c r="G12" s="51"/>
      <c r="H12" s="51"/>
      <c r="I12" s="51"/>
      <c r="J12" s="51"/>
      <c r="K12" s="51"/>
      <c r="L12" s="6" t="s">
        <v>35</v>
      </c>
      <c r="M12" s="87" t="s">
        <v>8</v>
      </c>
      <c r="N12" s="88"/>
      <c r="O12" s="50"/>
    </row>
    <row r="13" spans="1:15" ht="17" thickBot="1" x14ac:dyDescent="0.25">
      <c r="A13" s="50"/>
      <c r="B13" s="58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0"/>
    </row>
    <row r="14" spans="1:15" ht="17" thickTop="1" x14ac:dyDescent="0.2">
      <c r="A14" s="50"/>
      <c r="B14" s="63" t="s">
        <v>9</v>
      </c>
      <c r="C14" s="64"/>
      <c r="D14" s="67" t="s">
        <v>10</v>
      </c>
      <c r="E14" s="68"/>
      <c r="F14" s="68"/>
      <c r="G14" s="68"/>
      <c r="H14" s="68"/>
      <c r="I14" s="68"/>
      <c r="J14" s="68"/>
      <c r="K14" s="68"/>
      <c r="L14" s="38">
        <f ca="1">TODAY()</f>
        <v>46190</v>
      </c>
      <c r="M14" s="39"/>
      <c r="N14" s="40"/>
      <c r="O14" s="50"/>
    </row>
    <row r="15" spans="1:15" ht="17" thickBot="1" x14ac:dyDescent="0.25">
      <c r="A15" s="50"/>
      <c r="B15" s="65"/>
      <c r="C15" s="66"/>
      <c r="D15" s="68"/>
      <c r="E15" s="68"/>
      <c r="F15" s="68"/>
      <c r="G15" s="68"/>
      <c r="H15" s="68"/>
      <c r="I15" s="68"/>
      <c r="J15" s="68"/>
      <c r="K15" s="68"/>
      <c r="L15" s="41"/>
      <c r="M15" s="42"/>
      <c r="N15" s="43"/>
      <c r="O15" s="50"/>
    </row>
    <row r="16" spans="1:15" ht="18" thickTop="1" thickBot="1" x14ac:dyDescent="0.25">
      <c r="A16" s="50"/>
      <c r="B16" s="58"/>
      <c r="C16" s="51"/>
      <c r="D16" s="51"/>
      <c r="E16" s="51"/>
      <c r="F16" s="51"/>
      <c r="G16" s="51"/>
      <c r="H16" s="51"/>
      <c r="I16" s="51"/>
      <c r="J16" s="51"/>
      <c r="K16" s="51"/>
      <c r="L16" s="44"/>
      <c r="M16" s="45"/>
      <c r="N16" s="46"/>
      <c r="O16" s="50"/>
    </row>
    <row r="17" spans="1:26" ht="17" thickTop="1" x14ac:dyDescent="0.2">
      <c r="A17" s="50"/>
      <c r="B17" s="63" t="s">
        <v>18</v>
      </c>
      <c r="C17" s="49"/>
      <c r="D17" s="71" t="s">
        <v>11</v>
      </c>
      <c r="E17" s="72"/>
      <c r="F17" s="72"/>
      <c r="G17" s="72"/>
      <c r="H17" s="72"/>
      <c r="I17" s="72"/>
      <c r="J17" s="72"/>
      <c r="K17" s="72"/>
      <c r="L17" s="52" t="s">
        <v>19</v>
      </c>
      <c r="M17" s="53"/>
      <c r="N17" s="54"/>
      <c r="O17" s="50"/>
    </row>
    <row r="18" spans="1:26" ht="16" customHeight="1" thickBot="1" x14ac:dyDescent="0.25">
      <c r="A18" s="50"/>
      <c r="B18" s="69"/>
      <c r="C18" s="70"/>
      <c r="D18" s="72"/>
      <c r="E18" s="72"/>
      <c r="F18" s="72"/>
      <c r="G18" s="72"/>
      <c r="H18" s="72"/>
      <c r="I18" s="72"/>
      <c r="J18" s="72"/>
      <c r="K18" s="72"/>
      <c r="L18" s="55"/>
      <c r="M18" s="56"/>
      <c r="N18" s="57"/>
      <c r="O18" s="50"/>
    </row>
    <row r="19" spans="1:26" ht="18" thickTop="1" thickBot="1" x14ac:dyDescent="0.25">
      <c r="A19" s="50"/>
      <c r="B19" s="58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73"/>
      <c r="O19" s="50"/>
    </row>
    <row r="20" spans="1:26" ht="37" customHeight="1" thickTop="1" thickBot="1" x14ac:dyDescent="0.25">
      <c r="A20" s="50"/>
      <c r="B20" s="80"/>
      <c r="C20" s="81"/>
      <c r="D20" s="81"/>
      <c r="E20" s="82" t="s">
        <v>12</v>
      </c>
      <c r="F20" s="82"/>
      <c r="G20" s="82"/>
      <c r="H20" s="82"/>
      <c r="I20" s="82"/>
      <c r="J20" s="82"/>
      <c r="K20" s="82"/>
      <c r="L20" s="81"/>
      <c r="M20" s="81"/>
      <c r="N20" s="83"/>
      <c r="O20" s="50"/>
    </row>
    <row r="21" spans="1:26" ht="18" thickTop="1" thickBot="1" x14ac:dyDescent="0.25">
      <c r="A21" s="50"/>
      <c r="B21" s="19" t="s">
        <v>13</v>
      </c>
      <c r="C21" s="20" t="s">
        <v>14</v>
      </c>
      <c r="D21" s="20" t="s">
        <v>15</v>
      </c>
      <c r="E21" s="84" t="s">
        <v>16</v>
      </c>
      <c r="F21" s="84"/>
      <c r="G21" s="84"/>
      <c r="H21" s="84"/>
      <c r="I21" s="84"/>
      <c r="J21" s="84"/>
      <c r="K21" s="84"/>
      <c r="L21" s="20" t="s">
        <v>20</v>
      </c>
      <c r="M21" s="20" t="s">
        <v>17</v>
      </c>
      <c r="N21" s="21" t="s">
        <v>21</v>
      </c>
      <c r="O21" s="50"/>
    </row>
    <row r="22" spans="1:26" x14ac:dyDescent="0.2">
      <c r="A22" s="50"/>
      <c r="B22" s="22">
        <v>1</v>
      </c>
      <c r="C22" s="23" t="s">
        <v>24</v>
      </c>
      <c r="D22" s="23">
        <v>50</v>
      </c>
      <c r="E22" s="78" t="s">
        <v>36</v>
      </c>
      <c r="F22" s="79"/>
      <c r="G22" s="79"/>
      <c r="H22" s="79"/>
      <c r="I22" s="79"/>
      <c r="J22" s="79"/>
      <c r="K22" s="79"/>
      <c r="L22" s="23" t="s">
        <v>48</v>
      </c>
      <c r="M22" s="24">
        <v>5850</v>
      </c>
      <c r="N22" s="25">
        <f t="shared" ref="N22:N33" si="0">D22*M22</f>
        <v>292500</v>
      </c>
      <c r="O22" s="50"/>
      <c r="Q22" s="1">
        <v>5850</v>
      </c>
      <c r="R22" s="1"/>
      <c r="S22" s="2">
        <f>Q22+R22</f>
        <v>5850</v>
      </c>
      <c r="T22">
        <f>D22</f>
        <v>50</v>
      </c>
      <c r="U22" s="1">
        <f>S22*T22</f>
        <v>292500</v>
      </c>
      <c r="V22" s="1">
        <f>U22*2%</f>
        <v>5850</v>
      </c>
    </row>
    <row r="23" spans="1:26" x14ac:dyDescent="0.2">
      <c r="A23" s="50"/>
      <c r="B23" s="26">
        <v>2</v>
      </c>
      <c r="C23" s="27" t="s">
        <v>24</v>
      </c>
      <c r="D23" s="27">
        <v>100</v>
      </c>
      <c r="E23" s="76" t="s">
        <v>37</v>
      </c>
      <c r="F23" s="77"/>
      <c r="G23" s="77"/>
      <c r="H23" s="77"/>
      <c r="I23" s="77"/>
      <c r="J23" s="77"/>
      <c r="K23" s="77"/>
      <c r="L23" s="27" t="s">
        <v>48</v>
      </c>
      <c r="M23" s="28">
        <v>950</v>
      </c>
      <c r="N23" s="29">
        <f t="shared" si="0"/>
        <v>95000</v>
      </c>
      <c r="O23" s="50"/>
      <c r="Q23" s="1">
        <v>950</v>
      </c>
      <c r="R23" s="1"/>
      <c r="S23" s="2">
        <f t="shared" ref="S23:S33" si="1">Q23+R23</f>
        <v>950</v>
      </c>
      <c r="T23">
        <f t="shared" ref="T23:T33" si="2">D23</f>
        <v>100</v>
      </c>
      <c r="U23" s="1">
        <f t="shared" ref="U23:U33" si="3">S23*T23</f>
        <v>95000</v>
      </c>
      <c r="V23" s="1">
        <f t="shared" ref="V23:V33" si="4">U23*2%</f>
        <v>1900</v>
      </c>
    </row>
    <row r="24" spans="1:26" x14ac:dyDescent="0.2">
      <c r="A24" s="50"/>
      <c r="B24" s="26">
        <v>3</v>
      </c>
      <c r="C24" s="27" t="s">
        <v>24</v>
      </c>
      <c r="D24" s="27">
        <v>50</v>
      </c>
      <c r="E24" s="76" t="s">
        <v>38</v>
      </c>
      <c r="F24" s="77"/>
      <c r="G24" s="77"/>
      <c r="H24" s="77"/>
      <c r="I24" s="77"/>
      <c r="J24" s="77"/>
      <c r="K24" s="77"/>
      <c r="L24" s="27" t="s">
        <v>48</v>
      </c>
      <c r="M24" s="28">
        <v>8900</v>
      </c>
      <c r="N24" s="29">
        <f t="shared" si="0"/>
        <v>445000</v>
      </c>
      <c r="O24" s="50"/>
      <c r="Q24" s="1">
        <v>8900</v>
      </c>
      <c r="R24" s="1"/>
      <c r="S24" s="2">
        <f t="shared" si="1"/>
        <v>8900</v>
      </c>
      <c r="T24">
        <f t="shared" si="2"/>
        <v>50</v>
      </c>
      <c r="U24" s="1">
        <f t="shared" si="3"/>
        <v>445000</v>
      </c>
      <c r="V24" s="1">
        <f t="shared" si="4"/>
        <v>8900</v>
      </c>
    </row>
    <row r="25" spans="1:26" x14ac:dyDescent="0.2">
      <c r="A25" s="50"/>
      <c r="B25" s="26">
        <v>4</v>
      </c>
      <c r="C25" s="27" t="s">
        <v>24</v>
      </c>
      <c r="D25" s="27">
        <v>50</v>
      </c>
      <c r="E25" s="76" t="s">
        <v>39</v>
      </c>
      <c r="F25" s="77"/>
      <c r="G25" s="77"/>
      <c r="H25" s="77"/>
      <c r="I25" s="77"/>
      <c r="J25" s="77"/>
      <c r="K25" s="77"/>
      <c r="L25" s="27" t="s">
        <v>48</v>
      </c>
      <c r="M25" s="28">
        <v>12500</v>
      </c>
      <c r="N25" s="29">
        <f t="shared" si="0"/>
        <v>625000</v>
      </c>
      <c r="O25" s="50"/>
      <c r="Q25" s="1">
        <v>12500</v>
      </c>
      <c r="R25" s="1"/>
      <c r="S25" s="2">
        <f t="shared" si="1"/>
        <v>12500</v>
      </c>
      <c r="T25">
        <f t="shared" si="2"/>
        <v>50</v>
      </c>
      <c r="U25" s="1">
        <f t="shared" si="3"/>
        <v>625000</v>
      </c>
      <c r="V25" s="1">
        <f t="shared" si="4"/>
        <v>12500</v>
      </c>
    </row>
    <row r="26" spans="1:26" x14ac:dyDescent="0.2">
      <c r="A26" s="50"/>
      <c r="B26" s="26">
        <v>5</v>
      </c>
      <c r="C26" s="27" t="s">
        <v>24</v>
      </c>
      <c r="D26" s="27">
        <v>100</v>
      </c>
      <c r="E26" s="76" t="s">
        <v>40</v>
      </c>
      <c r="F26" s="77"/>
      <c r="G26" s="77"/>
      <c r="H26" s="77"/>
      <c r="I26" s="77"/>
      <c r="J26" s="77"/>
      <c r="K26" s="77"/>
      <c r="L26" s="27" t="s">
        <v>48</v>
      </c>
      <c r="M26" s="28">
        <v>13800</v>
      </c>
      <c r="N26" s="29">
        <f t="shared" si="0"/>
        <v>1380000</v>
      </c>
      <c r="O26" s="50"/>
      <c r="Q26" s="1">
        <v>13800</v>
      </c>
      <c r="R26" s="1"/>
      <c r="S26" s="2">
        <f t="shared" si="1"/>
        <v>13800</v>
      </c>
      <c r="T26">
        <f t="shared" si="2"/>
        <v>100</v>
      </c>
      <c r="U26" s="1">
        <f t="shared" si="3"/>
        <v>1380000</v>
      </c>
      <c r="V26" s="1">
        <f t="shared" si="4"/>
        <v>27600</v>
      </c>
    </row>
    <row r="27" spans="1:26" x14ac:dyDescent="0.2">
      <c r="A27" s="50"/>
      <c r="B27" s="26">
        <v>6</v>
      </c>
      <c r="C27" s="27" t="s">
        <v>24</v>
      </c>
      <c r="D27" s="27">
        <v>100</v>
      </c>
      <c r="E27" s="76" t="s">
        <v>41</v>
      </c>
      <c r="F27" s="77"/>
      <c r="G27" s="77"/>
      <c r="H27" s="77"/>
      <c r="I27" s="77"/>
      <c r="J27" s="77"/>
      <c r="K27" s="77"/>
      <c r="L27" s="27" t="s">
        <v>49</v>
      </c>
      <c r="M27" s="28">
        <v>16.78</v>
      </c>
      <c r="N27" s="29">
        <f t="shared" si="0"/>
        <v>1678</v>
      </c>
      <c r="O27" s="50"/>
      <c r="Q27" s="1">
        <v>18</v>
      </c>
      <c r="R27" s="1"/>
      <c r="S27" s="2">
        <f t="shared" si="1"/>
        <v>18</v>
      </c>
      <c r="T27">
        <f t="shared" si="2"/>
        <v>100</v>
      </c>
      <c r="U27" s="1">
        <f t="shared" si="3"/>
        <v>1800</v>
      </c>
      <c r="V27" s="1">
        <f t="shared" si="4"/>
        <v>36</v>
      </c>
      <c r="X27">
        <v>13.42</v>
      </c>
      <c r="Y27">
        <f t="shared" ref="Y27:Y32" si="5">X27*25%</f>
        <v>3.355</v>
      </c>
      <c r="Z27" s="1">
        <f t="shared" ref="Z27:Z32" si="6">X27+Y27</f>
        <v>16.774999999999999</v>
      </c>
    </row>
    <row r="28" spans="1:26" x14ac:dyDescent="0.2">
      <c r="A28" s="50"/>
      <c r="B28" s="26">
        <v>7</v>
      </c>
      <c r="C28" s="27" t="s">
        <v>24</v>
      </c>
      <c r="D28" s="27">
        <v>100</v>
      </c>
      <c r="E28" s="76" t="s">
        <v>42</v>
      </c>
      <c r="F28" s="77"/>
      <c r="G28" s="77"/>
      <c r="H28" s="77"/>
      <c r="I28" s="77"/>
      <c r="J28" s="77"/>
      <c r="K28" s="77"/>
      <c r="L28" s="27" t="s">
        <v>49</v>
      </c>
      <c r="M28" s="28">
        <v>31.94</v>
      </c>
      <c r="N28" s="29">
        <f t="shared" si="0"/>
        <v>3194</v>
      </c>
      <c r="O28" s="50"/>
      <c r="Q28" s="1">
        <v>32</v>
      </c>
      <c r="R28" s="1"/>
      <c r="S28" s="2">
        <f t="shared" si="1"/>
        <v>32</v>
      </c>
      <c r="T28">
        <f t="shared" si="2"/>
        <v>100</v>
      </c>
      <c r="U28" s="1">
        <f t="shared" si="3"/>
        <v>3200</v>
      </c>
      <c r="V28" s="1">
        <f t="shared" si="4"/>
        <v>64</v>
      </c>
      <c r="X28">
        <v>25.55</v>
      </c>
      <c r="Y28" s="1">
        <f t="shared" si="5"/>
        <v>6.3875000000000002</v>
      </c>
      <c r="Z28" s="1">
        <f t="shared" si="6"/>
        <v>31.9375</v>
      </c>
    </row>
    <row r="29" spans="1:26" x14ac:dyDescent="0.2">
      <c r="A29" s="50"/>
      <c r="B29" s="26">
        <v>8</v>
      </c>
      <c r="C29" s="27" t="s">
        <v>24</v>
      </c>
      <c r="D29" s="27">
        <v>100</v>
      </c>
      <c r="E29" s="76" t="s">
        <v>43</v>
      </c>
      <c r="F29" s="77"/>
      <c r="G29" s="77"/>
      <c r="H29" s="77"/>
      <c r="I29" s="77"/>
      <c r="J29" s="77"/>
      <c r="K29" s="77"/>
      <c r="L29" s="27" t="s">
        <v>49</v>
      </c>
      <c r="M29" s="28">
        <v>31.94</v>
      </c>
      <c r="N29" s="29">
        <f t="shared" si="0"/>
        <v>3194</v>
      </c>
      <c r="O29" s="50"/>
      <c r="Q29" s="1">
        <v>32</v>
      </c>
      <c r="R29" s="1"/>
      <c r="S29" s="2">
        <f t="shared" si="1"/>
        <v>32</v>
      </c>
      <c r="T29">
        <f t="shared" si="2"/>
        <v>100</v>
      </c>
      <c r="U29" s="1">
        <f t="shared" si="3"/>
        <v>3200</v>
      </c>
      <c r="V29" s="1">
        <f t="shared" si="4"/>
        <v>64</v>
      </c>
      <c r="X29">
        <v>25.55</v>
      </c>
      <c r="Y29" s="1">
        <f t="shared" si="5"/>
        <v>6.3875000000000002</v>
      </c>
      <c r="Z29" s="1">
        <f t="shared" si="6"/>
        <v>31.9375</v>
      </c>
    </row>
    <row r="30" spans="1:26" x14ac:dyDescent="0.2">
      <c r="A30" s="50"/>
      <c r="B30" s="26">
        <v>9</v>
      </c>
      <c r="C30" s="27" t="s">
        <v>24</v>
      </c>
      <c r="D30" s="27">
        <v>100</v>
      </c>
      <c r="E30" s="76" t="s">
        <v>44</v>
      </c>
      <c r="F30" s="77"/>
      <c r="G30" s="77"/>
      <c r="H30" s="77"/>
      <c r="I30" s="77"/>
      <c r="J30" s="77"/>
      <c r="K30" s="77"/>
      <c r="L30" s="27" t="s">
        <v>49</v>
      </c>
      <c r="M30" s="28">
        <v>31.94</v>
      </c>
      <c r="N30" s="29">
        <f t="shared" si="0"/>
        <v>3194</v>
      </c>
      <c r="O30" s="50"/>
      <c r="Q30" s="1">
        <v>32</v>
      </c>
      <c r="R30" s="1"/>
      <c r="S30" s="2">
        <f t="shared" si="1"/>
        <v>32</v>
      </c>
      <c r="T30">
        <f t="shared" si="2"/>
        <v>100</v>
      </c>
      <c r="U30" s="1">
        <f t="shared" si="3"/>
        <v>3200</v>
      </c>
      <c r="V30" s="1">
        <f t="shared" si="4"/>
        <v>64</v>
      </c>
      <c r="X30">
        <v>25.55</v>
      </c>
      <c r="Y30" s="1">
        <f t="shared" si="5"/>
        <v>6.3875000000000002</v>
      </c>
      <c r="Z30" s="1">
        <f t="shared" si="6"/>
        <v>31.9375</v>
      </c>
    </row>
    <row r="31" spans="1:26" x14ac:dyDescent="0.2">
      <c r="A31" s="50"/>
      <c r="B31" s="26">
        <v>10</v>
      </c>
      <c r="C31" s="27" t="s">
        <v>24</v>
      </c>
      <c r="D31" s="27">
        <v>100</v>
      </c>
      <c r="E31" s="76" t="s">
        <v>45</v>
      </c>
      <c r="F31" s="77"/>
      <c r="G31" s="77"/>
      <c r="H31" s="77"/>
      <c r="I31" s="77"/>
      <c r="J31" s="77"/>
      <c r="K31" s="77"/>
      <c r="L31" s="27" t="s">
        <v>49</v>
      </c>
      <c r="M31" s="28">
        <v>31.94</v>
      </c>
      <c r="N31" s="29">
        <f t="shared" si="0"/>
        <v>3194</v>
      </c>
      <c r="O31" s="50"/>
      <c r="Q31" s="1">
        <v>26</v>
      </c>
      <c r="R31" s="1"/>
      <c r="S31" s="2">
        <f t="shared" si="1"/>
        <v>26</v>
      </c>
      <c r="T31">
        <f t="shared" si="2"/>
        <v>100</v>
      </c>
      <c r="U31" s="1">
        <f t="shared" si="3"/>
        <v>2600</v>
      </c>
      <c r="V31" s="1">
        <f t="shared" si="4"/>
        <v>52</v>
      </c>
      <c r="X31">
        <v>20.18</v>
      </c>
      <c r="Y31" s="1">
        <f t="shared" si="5"/>
        <v>5.0449999999999999</v>
      </c>
      <c r="Z31" s="1">
        <f t="shared" si="6"/>
        <v>25.225000000000001</v>
      </c>
    </row>
    <row r="32" spans="1:26" x14ac:dyDescent="0.2">
      <c r="A32" s="50"/>
      <c r="B32" s="26">
        <v>11</v>
      </c>
      <c r="C32" s="27" t="s">
        <v>24</v>
      </c>
      <c r="D32" s="27">
        <v>150</v>
      </c>
      <c r="E32" s="76" t="s">
        <v>46</v>
      </c>
      <c r="F32" s="77"/>
      <c r="G32" s="77"/>
      <c r="H32" s="77"/>
      <c r="I32" s="77"/>
      <c r="J32" s="77"/>
      <c r="K32" s="77"/>
      <c r="L32" s="27" t="s">
        <v>49</v>
      </c>
      <c r="M32" s="28">
        <v>31.94</v>
      </c>
      <c r="N32" s="29">
        <f t="shared" si="0"/>
        <v>4791</v>
      </c>
      <c r="O32" s="50"/>
      <c r="Q32" s="1">
        <v>32</v>
      </c>
      <c r="R32" s="1"/>
      <c r="S32" s="2">
        <f t="shared" si="1"/>
        <v>32</v>
      </c>
      <c r="T32">
        <f t="shared" si="2"/>
        <v>150</v>
      </c>
      <c r="U32" s="1">
        <f t="shared" si="3"/>
        <v>4800</v>
      </c>
      <c r="V32" s="1">
        <f t="shared" si="4"/>
        <v>96</v>
      </c>
      <c r="X32">
        <v>25.55</v>
      </c>
      <c r="Y32" s="1">
        <f t="shared" si="5"/>
        <v>6.3875000000000002</v>
      </c>
      <c r="Z32" s="1">
        <f t="shared" si="6"/>
        <v>31.9375</v>
      </c>
    </row>
    <row r="33" spans="1:22" x14ac:dyDescent="0.2">
      <c r="A33" s="50"/>
      <c r="B33" s="26">
        <v>12</v>
      </c>
      <c r="C33" s="27" t="s">
        <v>24</v>
      </c>
      <c r="D33" s="27">
        <v>495</v>
      </c>
      <c r="E33" s="76" t="s">
        <v>47</v>
      </c>
      <c r="F33" s="77"/>
      <c r="G33" s="77"/>
      <c r="H33" s="77"/>
      <c r="I33" s="77"/>
      <c r="J33" s="77"/>
      <c r="K33" s="77"/>
      <c r="L33" s="27" t="s">
        <v>49</v>
      </c>
      <c r="M33" s="28">
        <v>28</v>
      </c>
      <c r="N33" s="29">
        <f t="shared" si="0"/>
        <v>13860</v>
      </c>
      <c r="O33" s="50"/>
      <c r="Q33" s="1">
        <v>28</v>
      </c>
      <c r="R33" s="1"/>
      <c r="S33" s="2">
        <f t="shared" si="1"/>
        <v>28</v>
      </c>
      <c r="T33">
        <f t="shared" si="2"/>
        <v>495</v>
      </c>
      <c r="U33" s="1">
        <f t="shared" si="3"/>
        <v>13860</v>
      </c>
      <c r="V33" s="1">
        <f t="shared" si="4"/>
        <v>277.2</v>
      </c>
    </row>
    <row r="34" spans="1:22" x14ac:dyDescent="0.2">
      <c r="A34" s="50"/>
      <c r="B34" s="26"/>
      <c r="C34" s="30"/>
      <c r="D34" s="30"/>
      <c r="E34" s="74"/>
      <c r="F34" s="75"/>
      <c r="G34" s="75"/>
      <c r="H34" s="75"/>
      <c r="I34" s="75"/>
      <c r="J34" s="75"/>
      <c r="K34" s="75"/>
      <c r="L34" s="30"/>
      <c r="M34" s="31"/>
      <c r="N34" s="29"/>
      <c r="O34" s="50"/>
    </row>
    <row r="35" spans="1:22" x14ac:dyDescent="0.2">
      <c r="A35" s="50"/>
      <c r="B35" s="26"/>
      <c r="C35" s="30"/>
      <c r="D35" s="30"/>
      <c r="E35" s="74"/>
      <c r="F35" s="75"/>
      <c r="G35" s="75"/>
      <c r="H35" s="75"/>
      <c r="I35" s="75"/>
      <c r="J35" s="75"/>
      <c r="K35" s="75"/>
      <c r="L35" s="30"/>
      <c r="M35" s="31"/>
      <c r="N35" s="29"/>
      <c r="O35" s="50"/>
      <c r="U35" s="1">
        <f>SUM(U22:U33)</f>
        <v>2870160</v>
      </c>
      <c r="V35" s="1">
        <f>SUM(V22:V33)</f>
        <v>57403.199999999997</v>
      </c>
    </row>
    <row r="36" spans="1:22" x14ac:dyDescent="0.2">
      <c r="A36" s="50"/>
      <c r="B36" s="26"/>
      <c r="C36" s="30"/>
      <c r="D36" s="30"/>
      <c r="E36" s="74"/>
      <c r="F36" s="75"/>
      <c r="G36" s="75"/>
      <c r="H36" s="75"/>
      <c r="I36" s="75"/>
      <c r="J36" s="75"/>
      <c r="K36" s="75"/>
      <c r="L36" s="30"/>
      <c r="M36" s="31"/>
      <c r="N36" s="29"/>
      <c r="O36" s="50"/>
      <c r="S36" s="1"/>
    </row>
    <row r="37" spans="1:22" x14ac:dyDescent="0.2">
      <c r="A37" s="50"/>
      <c r="B37" s="26"/>
      <c r="C37" s="30"/>
      <c r="D37" s="30"/>
      <c r="E37" s="74"/>
      <c r="F37" s="75"/>
      <c r="G37" s="75"/>
      <c r="H37" s="75"/>
      <c r="I37" s="75"/>
      <c r="J37" s="75"/>
      <c r="K37" s="75"/>
      <c r="L37" s="30"/>
      <c r="M37" s="31"/>
      <c r="N37" s="29"/>
      <c r="O37" s="50"/>
    </row>
    <row r="38" spans="1:22" x14ac:dyDescent="0.2">
      <c r="A38" s="50"/>
      <c r="B38" s="26"/>
      <c r="C38" s="30"/>
      <c r="D38" s="30"/>
      <c r="E38" s="74"/>
      <c r="F38" s="75"/>
      <c r="G38" s="75"/>
      <c r="H38" s="75"/>
      <c r="I38" s="75"/>
      <c r="J38" s="75"/>
      <c r="K38" s="75"/>
      <c r="L38" s="30"/>
      <c r="M38" s="32"/>
      <c r="N38" s="33"/>
      <c r="O38" s="50"/>
      <c r="V38" s="1">
        <f>U35-V35</f>
        <v>2812756.8</v>
      </c>
    </row>
    <row r="39" spans="1:22" x14ac:dyDescent="0.2">
      <c r="A39" s="50"/>
      <c r="B39" s="58"/>
      <c r="C39" s="51"/>
      <c r="D39" s="51"/>
      <c r="E39" s="51"/>
      <c r="F39" s="51"/>
      <c r="G39" s="51"/>
      <c r="H39" s="51"/>
      <c r="I39" s="51"/>
      <c r="J39" s="51"/>
      <c r="K39" s="51"/>
      <c r="L39" s="59"/>
      <c r="M39" s="34" t="s">
        <v>22</v>
      </c>
      <c r="N39" s="35">
        <f>SUM(N22:N38)</f>
        <v>2870605</v>
      </c>
      <c r="O39" s="50"/>
    </row>
    <row r="40" spans="1:22" x14ac:dyDescent="0.2">
      <c r="A40" s="50"/>
      <c r="B40" s="58"/>
      <c r="C40" s="51"/>
      <c r="D40" s="51"/>
      <c r="E40" s="51"/>
      <c r="F40" s="51"/>
      <c r="G40" s="51"/>
      <c r="H40" s="51"/>
      <c r="I40" s="51"/>
      <c r="J40" s="51"/>
      <c r="K40" s="51"/>
      <c r="L40" s="59"/>
      <c r="M40" s="36" t="s">
        <v>23</v>
      </c>
      <c r="N40" s="37">
        <v>0</v>
      </c>
      <c r="O40" s="50"/>
    </row>
    <row r="41" spans="1:22" x14ac:dyDescent="0.2">
      <c r="A41" s="50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2"/>
      <c r="M41" s="36" t="s">
        <v>21</v>
      </c>
      <c r="N41" s="37">
        <f>N39+N40</f>
        <v>2870605</v>
      </c>
      <c r="O41" s="50"/>
    </row>
    <row r="42" spans="1:22" x14ac:dyDescent="0.2">
      <c r="A42" s="50"/>
      <c r="B42" s="58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73"/>
      <c r="O42" s="50"/>
    </row>
    <row r="43" spans="1:22" x14ac:dyDescent="0.2">
      <c r="A43" s="50"/>
      <c r="B43" s="58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73"/>
      <c r="O43" s="50"/>
    </row>
    <row r="44" spans="1:22" x14ac:dyDescent="0.2">
      <c r="A44" s="50"/>
      <c r="B44" s="58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73"/>
      <c r="O44" s="50"/>
    </row>
    <row r="45" spans="1:22" x14ac:dyDescent="0.2">
      <c r="A45" s="50"/>
      <c r="B45" s="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8" t="s">
        <v>25</v>
      </c>
      <c r="O45" s="50"/>
    </row>
    <row r="46" spans="1:22" x14ac:dyDescent="0.2">
      <c r="A46" s="50"/>
      <c r="B46" s="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0" t="s">
        <v>26</v>
      </c>
      <c r="O46" s="50"/>
    </row>
    <row r="47" spans="1:22" x14ac:dyDescent="0.2">
      <c r="A47" s="50"/>
      <c r="B47" s="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0">
        <v>1052517471</v>
      </c>
      <c r="O47" s="50"/>
    </row>
    <row r="48" spans="1:22" x14ac:dyDescent="0.2">
      <c r="A48" s="50"/>
      <c r="B48" s="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0">
        <v>450105</v>
      </c>
      <c r="O48" s="50"/>
    </row>
    <row r="49" spans="1:15" x14ac:dyDescent="0.2">
      <c r="A49" s="50"/>
      <c r="B49" s="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10" t="s">
        <v>27</v>
      </c>
      <c r="O49" s="50"/>
    </row>
    <row r="50" spans="1:15" x14ac:dyDescent="0.2">
      <c r="A50" s="50"/>
      <c r="B50" s="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11"/>
      <c r="O50" s="50"/>
    </row>
    <row r="51" spans="1:15" x14ac:dyDescent="0.2">
      <c r="A51" s="50"/>
      <c r="B51" s="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2" t="s">
        <v>28</v>
      </c>
      <c r="O51" s="50"/>
    </row>
    <row r="52" spans="1:15" x14ac:dyDescent="0.2">
      <c r="A52" s="50"/>
      <c r="B52" s="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12" t="s">
        <v>34</v>
      </c>
      <c r="O52" s="50"/>
    </row>
    <row r="53" spans="1:15" x14ac:dyDescent="0.2">
      <c r="A53" s="50"/>
      <c r="B53" s="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12" t="s">
        <v>29</v>
      </c>
      <c r="O53" s="50"/>
    </row>
    <row r="54" spans="1:15" ht="17" thickBot="1" x14ac:dyDescent="0.25">
      <c r="A54" s="50"/>
      <c r="B54" s="13" t="s">
        <v>31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14" t="s">
        <v>30</v>
      </c>
      <c r="O54" s="50"/>
    </row>
    <row r="55" spans="1:15" x14ac:dyDescent="0.2">
      <c r="A55" s="50"/>
      <c r="B55" s="15" t="s">
        <v>32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11"/>
      <c r="O55" s="50"/>
    </row>
    <row r="56" spans="1:15" ht="17" thickBot="1" x14ac:dyDescent="0.25">
      <c r="A56" s="50"/>
      <c r="B56" s="16" t="s">
        <v>33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50"/>
    </row>
    <row r="57" spans="1:15" ht="17" thickTop="1" x14ac:dyDescent="0.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</row>
  </sheetData>
  <mergeCells count="48">
    <mergeCell ref="B2:K13"/>
    <mergeCell ref="B16:K16"/>
    <mergeCell ref="B19:N19"/>
    <mergeCell ref="L10:N10"/>
    <mergeCell ref="M12:N12"/>
    <mergeCell ref="L11:N11"/>
    <mergeCell ref="L2:N2"/>
    <mergeCell ref="L3:N3"/>
    <mergeCell ref="L4:N4"/>
    <mergeCell ref="L5:N5"/>
    <mergeCell ref="L6:N6"/>
    <mergeCell ref="L7:N7"/>
    <mergeCell ref="L8:N8"/>
    <mergeCell ref="L9:N9"/>
    <mergeCell ref="E27:K27"/>
    <mergeCell ref="B20:D20"/>
    <mergeCell ref="E20:K20"/>
    <mergeCell ref="L20:N20"/>
    <mergeCell ref="E21:K21"/>
    <mergeCell ref="E22:K22"/>
    <mergeCell ref="E23:K23"/>
    <mergeCell ref="E24:K24"/>
    <mergeCell ref="E25:K25"/>
    <mergeCell ref="E26:K26"/>
    <mergeCell ref="E37:K37"/>
    <mergeCell ref="E38:K38"/>
    <mergeCell ref="E28:K28"/>
    <mergeCell ref="E29:K29"/>
    <mergeCell ref="E30:K30"/>
    <mergeCell ref="E31:K31"/>
    <mergeCell ref="E32:K32"/>
    <mergeCell ref="E33:K33"/>
    <mergeCell ref="L14:N16"/>
    <mergeCell ref="B1:N1"/>
    <mergeCell ref="A1:A57"/>
    <mergeCell ref="B57:N57"/>
    <mergeCell ref="O1:O57"/>
    <mergeCell ref="L13:N13"/>
    <mergeCell ref="L17:N18"/>
    <mergeCell ref="B39:L41"/>
    <mergeCell ref="B14:C15"/>
    <mergeCell ref="D14:K15"/>
    <mergeCell ref="B17:C18"/>
    <mergeCell ref="D17:K18"/>
    <mergeCell ref="B42:N44"/>
    <mergeCell ref="E34:K34"/>
    <mergeCell ref="E35:K35"/>
    <mergeCell ref="E36:K36"/>
  </mergeCells>
  <hyperlinks>
    <hyperlink ref="L4" r:id="rId1" xr:uid="{B30B8E92-8700-FB4E-A85C-CE0D851745F2}"/>
    <hyperlink ref="L5" r:id="rId2" xr:uid="{8776B32C-3C7F-4E49-8EBE-2367C4AC72DD}"/>
  </hyperlinks>
  <pageMargins left="0.7" right="0.7" top="0.75" bottom="0.75" header="0.3" footer="0.3"/>
  <pageSetup paperSize="9" scale="49"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Lechesa Manaba's MacBook</dc:creator>
  <cp:lastModifiedBy>Lechesa Manaba's MacBook</cp:lastModifiedBy>
  <cp:lastPrinted>2026-06-09T21:03:18Z</cp:lastPrinted>
  <dcterms:created xsi:type="dcterms:W3CDTF">2026-06-09T18:53:49Z</dcterms:created>
  <dcterms:modified xsi:type="dcterms:W3CDTF">2026-06-17T08:40:25Z</dcterms:modified>
</cp:coreProperties>
</file>